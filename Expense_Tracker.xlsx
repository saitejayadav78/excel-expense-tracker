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1399C207-E6CB-4FDB-BF6B-D634E6515EA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3" sheetId="3" r:id="rId2"/>
    <sheet name="Sheet2" sheetId="2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  <c r="H6" i="2"/>
  <c r="H12" i="2"/>
  <c r="H11" i="2"/>
  <c r="H10" i="2"/>
  <c r="H5" i="2"/>
  <c r="H4" i="2"/>
</calcChain>
</file>

<file path=xl/sharedStrings.xml><?xml version="1.0" encoding="utf-8"?>
<sst xmlns="http://schemas.openxmlformats.org/spreadsheetml/2006/main" count="139" uniqueCount="34">
  <si>
    <t xml:space="preserve"> </t>
  </si>
  <si>
    <t>Date</t>
  </si>
  <si>
    <t>category</t>
  </si>
  <si>
    <t>item</t>
  </si>
  <si>
    <t>price</t>
  </si>
  <si>
    <t>payment mode</t>
  </si>
  <si>
    <t>Payment mode</t>
  </si>
  <si>
    <t>Price</t>
  </si>
  <si>
    <t>Item</t>
  </si>
  <si>
    <t>Category</t>
  </si>
  <si>
    <t>Food</t>
  </si>
  <si>
    <t>Restaurent</t>
  </si>
  <si>
    <t>food</t>
  </si>
  <si>
    <t>cash</t>
  </si>
  <si>
    <t>Groceries</t>
  </si>
  <si>
    <t>UPI</t>
  </si>
  <si>
    <t>Bus pass</t>
  </si>
  <si>
    <t>Restaurant</t>
  </si>
  <si>
    <t>Bills</t>
  </si>
  <si>
    <t>Electricity</t>
  </si>
  <si>
    <t>transport</t>
  </si>
  <si>
    <t>Total</t>
  </si>
  <si>
    <t>Avarage</t>
  </si>
  <si>
    <t>SUM FOOD TRANS</t>
  </si>
  <si>
    <t>FOOD COUNT</t>
  </si>
  <si>
    <t>MAX</t>
  </si>
  <si>
    <t>CASH SUM</t>
  </si>
  <si>
    <t>UPI SUM</t>
  </si>
  <si>
    <t>Row Labels</t>
  </si>
  <si>
    <t>Grand Total</t>
  </si>
  <si>
    <t>Sum of Price</t>
  </si>
  <si>
    <t>My Expense Tracker - August</t>
  </si>
  <si>
    <t>FOOD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</si>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</sst>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[$-409]d\-mmm;@"/>
    <numFmt numFmtId="173" formatCode="[$-409]dd\-mmm\-yy;@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u/>
      <sz val="28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vertical="center" wrapText="1"/>
    </xf>
    <xf numFmtId="2" fontId="0" fillId="2" borderId="0" xfId="0" applyNumberFormat="1" applyFill="1"/>
    <xf numFmtId="1" fontId="1" fillId="3" borderId="0" xfId="0" applyNumberFormat="1" applyFont="1" applyFill="1"/>
    <xf numFmtId="2" fontId="1" fillId="3" borderId="0" xfId="0" applyNumberFormat="1" applyFont="1" applyFill="1"/>
    <xf numFmtId="0" fontId="1" fillId="3" borderId="0" xfId="0" applyFont="1" applyFill="1"/>
    <xf numFmtId="173" fontId="1" fillId="3" borderId="0" xfId="0" applyNumberFormat="1" applyFont="1" applyFill="1"/>
    <xf numFmtId="172" fontId="1" fillId="3" borderId="0" xfId="0" applyNumberFormat="1" applyFont="1" applyFill="1" applyBorder="1"/>
    <xf numFmtId="17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/>
    <xf numFmtId="172" fontId="4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[Expense_Tracker.xlsx]Sheet3!PivotTable1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"Expense Breakdown by Category"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Sheet3!$A$4:$A$7</c:f>
              <c:strCache>
                <c:ptCount val="3"/>
                <c:pt idx="0">
                  <c:v>Bills</c:v>
                </c:pt>
                <c:pt idx="1">
                  <c:v>food</c:v>
                </c:pt>
                <c:pt idx="2">
                  <c:v>transport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5371.4285714285797</c:v>
                </c:pt>
                <c:pt idx="1">
                  <c:v>17535.714285714319</c:v>
                </c:pt>
                <c:pt idx="2">
                  <c:v>3828.5714285714403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5-4D0E-BEAB-438FE484E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</xdr:row>
      <xdr:rowOff>6350</xdr:rowOff>
    </xdr:from>
    <xdr:to>
      <xdr:col>12</xdr:col>
      <xdr:colOff>371475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547CE-2190-26D1-5FCA-22E47FFF2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47.932829282407" createdVersion="8" refreshedVersion="8" minRefreshableVersion="3" recordCount="19" xr:uid="{A31ADCF0-FF5E-4911-9624-DE42A55FCA70}">
  <cacheSource type="worksheet">
    <worksheetSource ref="A2:E21" sheet="Sheet2"/>
  </cacheSource>
  <cacheFields count="5">
    <cacheField name="Date" numFmtId="0">
      <sharedItems containsSemiMixedTypes="0" containsNonDate="0" containsDate="1" containsString="0" minDate="2026-08-01T00:00:00" maxDate="2026-08-20T00:00:00"/>
    </cacheField>
    <cacheField name="Category" numFmtId="0">
      <sharedItems count="3">
        <s v="food"/>
        <s v="transport"/>
        <s v="Bills"/>
      </sharedItems>
    </cacheField>
    <cacheField name="Item" numFmtId="0">
      <sharedItems/>
    </cacheField>
    <cacheField name="Price" numFmtId="0">
      <sharedItems containsSemiMixedTypes="0" containsString="0" containsNumber="1" minValue="200" maxValue="2628.5714285714298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6-08-01T00:00:00"/>
    <x v="0"/>
    <s v="Restaurent"/>
    <n v="250"/>
    <s v="cash"/>
  </r>
  <r>
    <d v="2026-08-02T00:00:00"/>
    <x v="0"/>
    <s v="Restaurent"/>
    <n v="250"/>
    <s v="UPI"/>
  </r>
  <r>
    <d v="2026-08-03T00:00:00"/>
    <x v="0"/>
    <s v="Groceries"/>
    <n v="800"/>
    <s v="cash"/>
  </r>
  <r>
    <d v="2026-08-04T00:00:00"/>
    <x v="1"/>
    <s v="Bus pass"/>
    <n v="200"/>
    <s v="UPI"/>
  </r>
  <r>
    <d v="2026-08-05T00:00:00"/>
    <x v="0"/>
    <s v="Restaurant"/>
    <n v="450"/>
    <s v="UPI"/>
  </r>
  <r>
    <d v="2026-08-06T00:00:00"/>
    <x v="2"/>
    <s v="Electricity"/>
    <n v="1200"/>
    <s v="cash"/>
  </r>
  <r>
    <d v="2026-08-07T00:00:00"/>
    <x v="0"/>
    <s v="Restaurent"/>
    <n v="1000"/>
    <s v="cash"/>
  </r>
  <r>
    <d v="2026-08-08T00:00:00"/>
    <x v="0"/>
    <s v="Restaurent"/>
    <n v="1135.7142857142901"/>
    <s v="UPI"/>
  </r>
  <r>
    <d v="2026-08-09T00:00:00"/>
    <x v="0"/>
    <s v="Groceries"/>
    <n v="1271.42857142858"/>
    <s v="cash"/>
  </r>
  <r>
    <d v="2026-08-10T00:00:00"/>
    <x v="1"/>
    <s v="Bus pass"/>
    <n v="1407.1428571428601"/>
    <s v="UPI"/>
  </r>
  <r>
    <d v="2026-08-11T00:00:00"/>
    <x v="0"/>
    <s v="Restaurant"/>
    <n v="1542.8571428571499"/>
    <s v="UPI"/>
  </r>
  <r>
    <d v="2026-08-12T00:00:00"/>
    <x v="2"/>
    <s v="Electricity"/>
    <n v="1678.57142857143"/>
    <s v="cash"/>
  </r>
  <r>
    <d v="2026-08-13T00:00:00"/>
    <x v="0"/>
    <s v="Restaurent"/>
    <n v="1814.2857142857199"/>
    <s v="cash"/>
  </r>
  <r>
    <d v="2026-08-14T00:00:00"/>
    <x v="0"/>
    <s v="Restaurent"/>
    <n v="1950"/>
    <s v="UPI"/>
  </r>
  <r>
    <d v="2026-08-15T00:00:00"/>
    <x v="0"/>
    <s v="Groceries"/>
    <n v="2085.7142857142899"/>
    <s v="cash"/>
  </r>
  <r>
    <d v="2026-08-16T00:00:00"/>
    <x v="1"/>
    <s v="Bus pass"/>
    <n v="2221.4285714285802"/>
    <s v="UPI"/>
  </r>
  <r>
    <d v="2026-08-17T00:00:00"/>
    <x v="0"/>
    <s v="Restaurant"/>
    <n v="2357.1428571428601"/>
    <s v="UPI"/>
  </r>
  <r>
    <d v="2026-08-18T00:00:00"/>
    <x v="2"/>
    <s v="Electricity"/>
    <n v="2492.8571428571499"/>
    <s v="cash"/>
  </r>
  <r>
    <d v="2026-08-19T00:00:00"/>
    <x v="0"/>
    <s v="Restaurent"/>
    <n v="2628.5714285714298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EAE11-14EA-4FAB-ABC0-E7CA53C79F0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5"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3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Formulas="1" workbookViewId="0"/>
  </sheetViews>
  <sheetFormatPr defaultRowHeight="14.5" x14ac:dyDescent="0.35"/>
  <cols>
    <col min="1" max="1" width="10.6328125" style="12" customWidth="1"/>
    <col min="2" max="2" width="11" customWidth="1"/>
    <col min="4" max="4" width="8.7265625" style="1"/>
  </cols>
  <sheetData>
    <row r="1" spans="1:7" ht="0.5" customHeight="1" x14ac:dyDescent="0.35">
      <c r="A1" s="12" t="s">
        <v>0</v>
      </c>
      <c r="G1" s="2"/>
    </row>
    <row r="2" spans="1:7" x14ac:dyDescent="0.35">
      <c r="A2" s="11" t="s">
        <v>1</v>
      </c>
      <c r="B2" s="10" t="s">
        <v>9</v>
      </c>
      <c r="C2" s="9" t="s">
        <v>8</v>
      </c>
      <c r="D2" s="8" t="s">
        <v>7</v>
      </c>
      <c r="E2" s="7" t="s">
        <v>6</v>
      </c>
    </row>
    <row r="3" spans="1:7" x14ac:dyDescent="0.35">
      <c r="A3" s="12">
        <v>46235</v>
      </c>
      <c r="B3" t="s">
        <v>12</v>
      </c>
      <c r="C3" t="s">
        <v>11</v>
      </c>
      <c r="D3" s="3">
        <v>250</v>
      </c>
      <c r="E3" s="2" t="s">
        <v>13</v>
      </c>
      <c r="F3" s="3">
        <v>46101</v>
      </c>
    </row>
    <row r="4" spans="1:7" x14ac:dyDescent="0.35">
      <c r="A4" s="12">
        <v>46236</v>
      </c>
      <c r="B4" t="s">
        <v>12</v>
      </c>
      <c r="C4" t="s">
        <v>11</v>
      </c>
      <c r="D4" s="1">
        <v>250</v>
      </c>
      <c r="E4" s="2" t="s">
        <v>15</v>
      </c>
    </row>
    <row r="5" spans="1:7" x14ac:dyDescent="0.35">
      <c r="A5" s="12">
        <v>46237</v>
      </c>
      <c r="B5" t="s">
        <v>12</v>
      </c>
      <c r="C5" s="5" t="s">
        <v>14</v>
      </c>
      <c r="D5" s="5">
        <v>800</v>
      </c>
      <c r="E5" s="5" t="s">
        <v>13</v>
      </c>
      <c r="G5" s="2"/>
    </row>
    <row r="6" spans="1:7" x14ac:dyDescent="0.35">
      <c r="A6" s="12">
        <v>46238</v>
      </c>
      <c r="B6" t="s">
        <v>20</v>
      </c>
      <c r="C6" s="5" t="s">
        <v>16</v>
      </c>
      <c r="D6" s="5">
        <v>200</v>
      </c>
      <c r="E6" s="5" t="s">
        <v>15</v>
      </c>
      <c r="G6" s="2"/>
    </row>
    <row r="7" spans="1:7" ht="29" x14ac:dyDescent="0.35">
      <c r="A7" s="12">
        <v>46239</v>
      </c>
      <c r="B7" s="5" t="s">
        <v>10</v>
      </c>
      <c r="C7" s="5" t="s">
        <v>17</v>
      </c>
      <c r="D7" s="5">
        <v>450</v>
      </c>
      <c r="E7" s="5" t="s">
        <v>15</v>
      </c>
      <c r="G7" s="2"/>
    </row>
    <row r="8" spans="1:7" x14ac:dyDescent="0.35">
      <c r="A8" s="12">
        <v>46240</v>
      </c>
      <c r="B8" s="5" t="s">
        <v>18</v>
      </c>
      <c r="C8" s="5" t="s">
        <v>19</v>
      </c>
      <c r="D8" s="5">
        <v>1200</v>
      </c>
      <c r="E8" s="5" t="s">
        <v>13</v>
      </c>
      <c r="G8" s="2"/>
    </row>
    <row r="9" spans="1:7" x14ac:dyDescent="0.35">
      <c r="A9" s="12">
        <v>46241</v>
      </c>
      <c r="B9" t="s">
        <v>12</v>
      </c>
      <c r="C9" t="s">
        <v>11</v>
      </c>
      <c r="D9" s="1">
        <v>1000</v>
      </c>
      <c r="E9" s="2" t="s">
        <v>13</v>
      </c>
      <c r="G9" s="2"/>
    </row>
    <row r="10" spans="1:7" x14ac:dyDescent="0.35">
      <c r="A10" s="12">
        <v>46242</v>
      </c>
      <c r="B10" t="s">
        <v>12</v>
      </c>
      <c r="C10" t="s">
        <v>11</v>
      </c>
      <c r="D10" s="1">
        <v>1135.7142857142901</v>
      </c>
      <c r="E10" s="2" t="s">
        <v>15</v>
      </c>
      <c r="G10" s="2"/>
    </row>
    <row r="11" spans="1:7" x14ac:dyDescent="0.35">
      <c r="A11" s="12">
        <v>46243</v>
      </c>
      <c r="B11" t="s">
        <v>12</v>
      </c>
      <c r="C11" s="5" t="s">
        <v>14</v>
      </c>
      <c r="D11" s="5">
        <v>1271.42857142858</v>
      </c>
      <c r="E11" s="5" t="s">
        <v>13</v>
      </c>
      <c r="G11" s="2"/>
    </row>
    <row r="12" spans="1:7" x14ac:dyDescent="0.35">
      <c r="A12" s="12">
        <v>46244</v>
      </c>
      <c r="B12" t="s">
        <v>20</v>
      </c>
      <c r="C12" s="5" t="s">
        <v>16</v>
      </c>
      <c r="D12" s="5">
        <v>1407.1428571428601</v>
      </c>
      <c r="E12" s="5" t="s">
        <v>15</v>
      </c>
      <c r="G12" s="2"/>
    </row>
    <row r="13" spans="1:7" ht="29" x14ac:dyDescent="0.35">
      <c r="A13" s="12">
        <v>46245</v>
      </c>
      <c r="B13" s="5" t="s">
        <v>10</v>
      </c>
      <c r="C13" s="5" t="s">
        <v>17</v>
      </c>
      <c r="D13" s="5">
        <v>1542.8571428571499</v>
      </c>
      <c r="E13" s="5" t="s">
        <v>15</v>
      </c>
      <c r="G13" s="2"/>
    </row>
    <row r="14" spans="1:7" x14ac:dyDescent="0.35">
      <c r="A14" s="12">
        <v>46246</v>
      </c>
      <c r="B14" s="5" t="s">
        <v>18</v>
      </c>
      <c r="C14" s="5" t="s">
        <v>19</v>
      </c>
      <c r="D14" s="5">
        <v>1678.57142857143</v>
      </c>
      <c r="E14" s="5" t="s">
        <v>13</v>
      </c>
    </row>
    <row r="15" spans="1:7" x14ac:dyDescent="0.35">
      <c r="A15" s="12">
        <v>46247</v>
      </c>
      <c r="B15" t="s">
        <v>12</v>
      </c>
      <c r="C15" t="s">
        <v>11</v>
      </c>
      <c r="D15" s="1">
        <v>1814.2857142857199</v>
      </c>
      <c r="E15" s="2" t="s">
        <v>13</v>
      </c>
    </row>
    <row r="16" spans="1:7" x14ac:dyDescent="0.35">
      <c r="A16" s="12">
        <v>46248</v>
      </c>
      <c r="B16" t="s">
        <v>12</v>
      </c>
      <c r="C16" t="s">
        <v>11</v>
      </c>
      <c r="D16" s="1">
        <v>1950</v>
      </c>
      <c r="E16" s="2" t="s">
        <v>15</v>
      </c>
    </row>
    <row r="17" spans="1:5" x14ac:dyDescent="0.35">
      <c r="A17" s="12">
        <v>46249</v>
      </c>
      <c r="B17" t="s">
        <v>12</v>
      </c>
      <c r="C17" s="5" t="s">
        <v>14</v>
      </c>
      <c r="D17" s="5">
        <v>2085.7142857142899</v>
      </c>
      <c r="E17" s="5" t="s">
        <v>13</v>
      </c>
    </row>
    <row r="18" spans="1:5" x14ac:dyDescent="0.35">
      <c r="A18" s="12">
        <v>46250</v>
      </c>
      <c r="B18" t="s">
        <v>20</v>
      </c>
      <c r="C18" s="5" t="s">
        <v>16</v>
      </c>
      <c r="D18" s="5">
        <v>2221.4285714285802</v>
      </c>
      <c r="E18" s="5" t="s">
        <v>15</v>
      </c>
    </row>
    <row r="19" spans="1:5" ht="29" x14ac:dyDescent="0.35">
      <c r="A19" s="12">
        <v>46251</v>
      </c>
      <c r="B19" s="5" t="s">
        <v>10</v>
      </c>
      <c r="C19" s="5" t="s">
        <v>17</v>
      </c>
      <c r="D19" s="5">
        <v>2357.1428571428601</v>
      </c>
      <c r="E19" s="5" t="s">
        <v>15</v>
      </c>
    </row>
    <row r="20" spans="1:5" x14ac:dyDescent="0.35">
      <c r="A20" s="12">
        <v>46252</v>
      </c>
      <c r="B20" s="5" t="s">
        <v>18</v>
      </c>
      <c r="C20" s="5" t="s">
        <v>19</v>
      </c>
      <c r="D20" s="5">
        <v>2492.8571428571499</v>
      </c>
      <c r="E20" s="5" t="s">
        <v>13</v>
      </c>
    </row>
    <row r="21" spans="1:5" x14ac:dyDescent="0.35">
      <c r="A21" s="12">
        <v>46253</v>
      </c>
      <c r="B21" t="s">
        <v>12</v>
      </c>
      <c r="C21" t="s">
        <v>11</v>
      </c>
      <c r="D21" s="1">
        <v>2628.5714285714298</v>
      </c>
      <c r="E21" s="2" t="s">
        <v>13</v>
      </c>
    </row>
    <row r="22" spans="1:5" x14ac:dyDescent="0.35">
      <c r="D22" s="6"/>
    </row>
    <row r="23" spans="1:5" x14ac:dyDescent="0.35">
      <c r="D23" s="6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BC9D-4D68-4F61-A4CF-90C1F78839F1}">
  <dimension ref="A3:B7"/>
  <sheetViews>
    <sheetView workbookViewId="0">
      <selection activeCell="D6" sqref="D6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4" t="s">
        <v>28</v>
      </c>
      <c r="B3" t="s">
        <v>30</v>
      </c>
    </row>
    <row r="4" spans="1:2" x14ac:dyDescent="0.35">
      <c r="A4" s="15" t="s">
        <v>18</v>
      </c>
      <c r="B4" s="16">
        <v>5371.4285714285797</v>
      </c>
    </row>
    <row r="5" spans="1:2" x14ac:dyDescent="0.35">
      <c r="A5" s="15" t="s">
        <v>12</v>
      </c>
      <c r="B5" s="16">
        <v>17535.714285714319</v>
      </c>
    </row>
    <row r="6" spans="1:2" x14ac:dyDescent="0.35">
      <c r="A6" s="15" t="s">
        <v>20</v>
      </c>
      <c r="B6" s="16">
        <v>3828.5714285714403</v>
      </c>
    </row>
    <row r="7" spans="1:2" x14ac:dyDescent="0.35">
      <c r="A7" s="15" t="s">
        <v>29</v>
      </c>
      <c r="B7" s="16">
        <v>26735.714285714341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0F75-3FC4-4D38-BDF7-160C612EEF00}">
  <dimension ref="A1:H21"/>
  <sheetViews>
    <sheetView tabSelected="1" topLeftCell="A5" workbookViewId="0">
      <selection activeCell="E14" sqref="E14"/>
    </sheetView>
  </sheetViews>
  <sheetFormatPr defaultRowHeight="14.5" x14ac:dyDescent="0.35"/>
  <cols>
    <col min="1" max="1" width="12.6328125" customWidth="1"/>
    <col min="2" max="2" width="14.54296875" customWidth="1"/>
    <col min="3" max="3" width="9.90625" bestFit="1" customWidth="1"/>
    <col min="4" max="4" width="18.36328125" customWidth="1"/>
    <col min="5" max="5" width="16.90625" customWidth="1"/>
    <col min="7" max="7" width="22" customWidth="1"/>
  </cols>
  <sheetData>
    <row r="1" spans="1:8" ht="36" x14ac:dyDescent="0.8">
      <c r="A1" s="17" t="s">
        <v>31</v>
      </c>
    </row>
    <row r="2" spans="1:8" x14ac:dyDescent="0.35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</row>
    <row r="3" spans="1:8" x14ac:dyDescent="0.35">
      <c r="A3" s="12">
        <v>46235</v>
      </c>
      <c r="B3" s="13" t="s">
        <v>32</v>
      </c>
      <c r="C3" s="13" t="s">
        <v>11</v>
      </c>
      <c r="D3" s="13">
        <v>250</v>
      </c>
      <c r="E3" s="13" t="s">
        <v>13</v>
      </c>
      <c r="F3" s="2"/>
    </row>
    <row r="4" spans="1:8" x14ac:dyDescent="0.35">
      <c r="A4" s="12">
        <v>46236</v>
      </c>
      <c r="B4" t="s">
        <v>32</v>
      </c>
      <c r="C4" t="s">
        <v>11</v>
      </c>
      <c r="D4" s="1">
        <v>250</v>
      </c>
      <c r="E4" s="2" t="s">
        <v>15</v>
      </c>
      <c r="G4" t="s">
        <v>21</v>
      </c>
      <c r="H4" s="13">
        <f>SUM(D3:D22)</f>
        <v>26735.714285714337</v>
      </c>
    </row>
    <row r="5" spans="1:8" x14ac:dyDescent="0.35">
      <c r="A5" s="12">
        <v>46237</v>
      </c>
      <c r="B5" t="s">
        <v>32</v>
      </c>
      <c r="C5" s="5" t="s">
        <v>14</v>
      </c>
      <c r="D5" s="5">
        <v>800</v>
      </c>
      <c r="E5" s="5" t="s">
        <v>13</v>
      </c>
      <c r="G5" s="5" t="s">
        <v>22</v>
      </c>
      <c r="H5">
        <f>AVERAGE(D3:D22)</f>
        <v>1407.1428571428598</v>
      </c>
    </row>
    <row r="6" spans="1:8" x14ac:dyDescent="0.35">
      <c r="A6" s="4">
        <v>46238</v>
      </c>
      <c r="B6" t="s">
        <v>33</v>
      </c>
      <c r="C6" s="5" t="s">
        <v>16</v>
      </c>
      <c r="D6" s="5">
        <v>200</v>
      </c>
      <c r="E6" s="5" t="s">
        <v>15</v>
      </c>
      <c r="G6" s="5" t="s">
        <v>24</v>
      </c>
      <c r="H6">
        <f>COUNTIF(B3:B22,"FOOD")</f>
        <v>13</v>
      </c>
    </row>
    <row r="7" spans="1:8" ht="29" x14ac:dyDescent="0.35">
      <c r="A7" s="12">
        <v>46239</v>
      </c>
      <c r="B7" s="5" t="s">
        <v>32</v>
      </c>
      <c r="C7" s="5" t="s">
        <v>17</v>
      </c>
      <c r="D7" s="5">
        <v>450</v>
      </c>
      <c r="E7" s="5" t="s">
        <v>15</v>
      </c>
      <c r="G7" s="13"/>
      <c r="H7" s="13"/>
    </row>
    <row r="8" spans="1:8" x14ac:dyDescent="0.35">
      <c r="A8" s="12">
        <v>46240</v>
      </c>
      <c r="B8" s="5" t="s">
        <v>18</v>
      </c>
      <c r="C8" s="5" t="s">
        <v>19</v>
      </c>
      <c r="D8" s="5">
        <v>1200</v>
      </c>
      <c r="E8" s="5" t="s">
        <v>13</v>
      </c>
      <c r="G8" s="5" t="s">
        <v>23</v>
      </c>
      <c r="H8">
        <f>SUMIF(B3:B22,"FOOD",D3:D22)</f>
        <v>17535.714285714319</v>
      </c>
    </row>
    <row r="9" spans="1:8" x14ac:dyDescent="0.35">
      <c r="A9" s="12">
        <v>46241</v>
      </c>
      <c r="B9" t="s">
        <v>32</v>
      </c>
      <c r="C9" t="s">
        <v>11</v>
      </c>
      <c r="D9" s="1">
        <v>1000</v>
      </c>
      <c r="E9" s="2" t="s">
        <v>13</v>
      </c>
    </row>
    <row r="10" spans="1:8" x14ac:dyDescent="0.35">
      <c r="A10" s="12">
        <v>46242</v>
      </c>
      <c r="B10" t="s">
        <v>32</v>
      </c>
      <c r="C10" t="s">
        <v>11</v>
      </c>
      <c r="D10" s="1">
        <v>1135.7142857142901</v>
      </c>
      <c r="E10" s="2" t="s">
        <v>15</v>
      </c>
      <c r="G10" s="5" t="s">
        <v>25</v>
      </c>
      <c r="H10" s="13">
        <f>MAX(D3:D22)</f>
        <v>2628.5714285714298</v>
      </c>
    </row>
    <row r="11" spans="1:8" x14ac:dyDescent="0.35">
      <c r="A11" s="12">
        <v>46243</v>
      </c>
      <c r="B11" t="s">
        <v>32</v>
      </c>
      <c r="C11" s="5" t="s">
        <v>14</v>
      </c>
      <c r="D11" s="5">
        <v>1271.42857142858</v>
      </c>
      <c r="E11" s="5" t="s">
        <v>13</v>
      </c>
      <c r="G11" s="5" t="s">
        <v>26</v>
      </c>
      <c r="H11">
        <f>SUMIF(E4:E51,"cash",D4:D51)</f>
        <v>14971.4285714286</v>
      </c>
    </row>
    <row r="12" spans="1:8" x14ac:dyDescent="0.35">
      <c r="A12" s="12">
        <v>46244</v>
      </c>
      <c r="B12" t="s">
        <v>33</v>
      </c>
      <c r="C12" s="5" t="s">
        <v>16</v>
      </c>
      <c r="D12" s="5">
        <v>1407.1428571428601</v>
      </c>
      <c r="E12" s="5" t="s">
        <v>15</v>
      </c>
      <c r="G12" s="5" t="s">
        <v>27</v>
      </c>
      <c r="H12">
        <f>SUMIF(E4:E51,"UPI",D4:D51)</f>
        <v>11514.285714285741</v>
      </c>
    </row>
    <row r="13" spans="1:8" ht="29" x14ac:dyDescent="0.35">
      <c r="A13" s="12">
        <v>46245</v>
      </c>
      <c r="B13" s="5" t="s">
        <v>32</v>
      </c>
      <c r="C13" s="5" t="s">
        <v>17</v>
      </c>
      <c r="D13" s="5">
        <v>1542.8571428571499</v>
      </c>
      <c r="E13" s="5" t="s">
        <v>15</v>
      </c>
    </row>
    <row r="14" spans="1:8" x14ac:dyDescent="0.35">
      <c r="A14" s="12">
        <v>46246</v>
      </c>
      <c r="B14" s="5" t="s">
        <v>18</v>
      </c>
      <c r="C14" s="5" t="s">
        <v>19</v>
      </c>
      <c r="D14" s="5">
        <v>1678.57142857143</v>
      </c>
      <c r="E14" s="5" t="s">
        <v>13</v>
      </c>
    </row>
    <row r="15" spans="1:8" x14ac:dyDescent="0.35">
      <c r="A15" s="12">
        <v>46247</v>
      </c>
      <c r="B15" t="s">
        <v>32</v>
      </c>
      <c r="C15" t="s">
        <v>11</v>
      </c>
      <c r="D15" s="1">
        <v>1814.2857142857199</v>
      </c>
      <c r="E15" s="2" t="s">
        <v>13</v>
      </c>
    </row>
    <row r="16" spans="1:8" x14ac:dyDescent="0.35">
      <c r="A16" s="12">
        <v>46248</v>
      </c>
      <c r="B16" t="s">
        <v>32</v>
      </c>
      <c r="C16" t="s">
        <v>11</v>
      </c>
      <c r="D16" s="1">
        <v>1950</v>
      </c>
      <c r="E16" s="2" t="s">
        <v>15</v>
      </c>
    </row>
    <row r="17" spans="1:5" x14ac:dyDescent="0.35">
      <c r="A17" s="12">
        <v>46249</v>
      </c>
      <c r="B17" t="s">
        <v>32</v>
      </c>
      <c r="C17" s="5" t="s">
        <v>14</v>
      </c>
      <c r="D17" s="5">
        <v>2085.7142857142899</v>
      </c>
      <c r="E17" s="5" t="s">
        <v>13</v>
      </c>
    </row>
    <row r="18" spans="1:5" x14ac:dyDescent="0.35">
      <c r="A18" s="12">
        <v>46250</v>
      </c>
      <c r="B18" t="s">
        <v>33</v>
      </c>
      <c r="C18" s="5" t="s">
        <v>16</v>
      </c>
      <c r="D18" s="5">
        <v>2221.4285714285802</v>
      </c>
      <c r="E18" s="5" t="s">
        <v>15</v>
      </c>
    </row>
    <row r="19" spans="1:5" ht="29" x14ac:dyDescent="0.35">
      <c r="A19" s="12">
        <v>46251</v>
      </c>
      <c r="B19" s="5" t="s">
        <v>32</v>
      </c>
      <c r="C19" s="5" t="s">
        <v>17</v>
      </c>
      <c r="D19" s="5">
        <v>2357.1428571428601</v>
      </c>
      <c r="E19" s="5" t="s">
        <v>15</v>
      </c>
    </row>
    <row r="20" spans="1:5" x14ac:dyDescent="0.35">
      <c r="A20" s="12">
        <v>46252</v>
      </c>
      <c r="B20" s="5" t="s">
        <v>18</v>
      </c>
      <c r="C20" s="5" t="s">
        <v>19</v>
      </c>
      <c r="D20" s="5">
        <v>2492.8571428571499</v>
      </c>
      <c r="E20" s="5" t="s">
        <v>13</v>
      </c>
    </row>
    <row r="21" spans="1:5" x14ac:dyDescent="0.35">
      <c r="A21" s="12">
        <v>46253</v>
      </c>
      <c r="B21" t="s">
        <v>32</v>
      </c>
      <c r="C21" t="s">
        <v>11</v>
      </c>
      <c r="D21" s="1">
        <v>2628.5714285714298</v>
      </c>
      <c r="E21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2026-08-13T17:29:52Z</dcterms:modified>
</cp:coreProperties>
</file>